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yash_code\excel project\"/>
    </mc:Choice>
  </mc:AlternateContent>
  <xr:revisionPtr revIDLastSave="0" documentId="13_ncr:1_{46881BFA-7CF6-4500-AC98-80E394401F6B}" xr6:coauthVersionLast="47" xr6:coauthVersionMax="47" xr10:uidLastSave="{00000000-0000-0000-0000-000000000000}"/>
  <bookViews>
    <workbookView xWindow="-108" yWindow="-108" windowWidth="23256" windowHeight="12456" activeTab="1" xr2:uid="{A29BDE67-6A09-47E1-8B24-A3D446C5AAFF}"/>
  </bookViews>
  <sheets>
    <sheet name="Sheet4" sheetId="4" r:id="rId1"/>
    <sheet name="Detail1" sheetId="5" r:id="rId2"/>
    <sheet name="Detail2" sheetId="6" r:id="rId3"/>
    <sheet name="Detail3" sheetId="7" r:id="rId4"/>
    <sheet name="Pivot Table" sheetId="2" r:id="rId5"/>
    <sheet name="Sheet1" sheetId="1" r:id="rId6"/>
  </sheets>
  <definedNames>
    <definedName name="_xlcn.WorksheetConnection_Book1Table11" hidden="1">Table1[]</definedName>
    <definedName name="Slicer_City">#N/A</definedName>
    <definedName name="Slicer_Product">#N/A</definedName>
  </definedNames>
  <calcPr calcId="181029"/>
  <pivotCaches>
    <pivotCache cacheId="0" r:id="rId7"/>
    <pivotCache cacheId="56" r:id="rId8"/>
    <pivotCache cacheId="59" r:id="rId9"/>
    <pivotCache cacheId="62"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Lst>
</workbook>
</file>

<file path=xl/calcChain.xml><?xml version="1.0" encoding="utf-8"?>
<calcChain xmlns="http://schemas.openxmlformats.org/spreadsheetml/2006/main">
  <c r="H9" i="5" l="1"/>
  <c r="H10" i="5"/>
  <c r="H11" i="5"/>
  <c r="H6" i="5"/>
  <c r="G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897E4D-5174-40F1-B181-74754911E2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BC31B74-CE6A-420E-B706-2298B9DCA99B}"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<sst xmlns="http://schemas.openxmlformats.org/spreadsheetml/2006/main" count="100" uniqueCount="25">
  <si>
    <t>Date</t>
  </si>
  <si>
    <t>Product</t>
  </si>
  <si>
    <t>City</t>
  </si>
  <si>
    <t>Sales</t>
  </si>
  <si>
    <t>Laptop</t>
  </si>
  <si>
    <t>Delhi</t>
  </si>
  <si>
    <t>Mobile</t>
  </si>
  <si>
    <t>Mumbai</t>
  </si>
  <si>
    <t>Tablet</t>
  </si>
  <si>
    <t>Pune</t>
  </si>
  <si>
    <t>Row Labels</t>
  </si>
  <si>
    <t>Grand Total</t>
  </si>
  <si>
    <t>Sum of Sales</t>
  </si>
  <si>
    <t>Details for Sum of Sales</t>
  </si>
  <si>
    <t>Details for Sum of Sales - Date: 1/1/2026</t>
  </si>
  <si>
    <t>Top 1</t>
  </si>
  <si>
    <t>Top 2</t>
  </si>
  <si>
    <t xml:space="preserve">       Top  3 Sales</t>
  </si>
  <si>
    <t>Top 3</t>
  </si>
  <si>
    <t>Column1</t>
  </si>
  <si>
    <t>Sum</t>
  </si>
  <si>
    <t>Average</t>
  </si>
  <si>
    <t>Running Total</t>
  </si>
  <si>
    <t>Count</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</si>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</sst>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 x14ac:knownFonts="1">
    <font>
      <sz val="11"/>
      <color theme="1"/>
      <name val="Corbel"/>
      <family val="2"/>
      <scheme val="minor"/>
    </font>
    <font>
      <b/>
      <sz val="11"/>
      <color theme="1"/>
      <name val="Corbel"/>
      <family val="2"/>
      <scheme val="minor"/>
    </font>
    <font>
      <sz val="8"/>
      <name val="Corbel"/>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1" fillId="0" borderId="0" xfId="0" applyFont="1" applyAlignment="1">
      <alignment horizontal="center" vertical="center" wrapText="1"/>
    </xf>
    <xf numFmtId="16" fontId="0" fillId="0" borderId="0" xfId="0" applyNumberFormat="1" applyAlignment="1">
      <alignment vertical="center" wrapText="1"/>
    </xf>
    <xf numFmtId="0" fontId="0" fillId="0" borderId="0" xfId="0" applyAlignment="1">
      <alignment vertical="center" wrapText="1"/>
    </xf>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 fontId="0" fillId="0" borderId="0" xfId="0" applyNumberFormat="1" applyAlignment="1">
      <alignment horizontal="left"/>
    </xf>
    <xf numFmtId="14" fontId="0" fillId="0" borderId="0" xfId="0" applyNumberFormat="1"/>
    <xf numFmtId="0" fontId="1" fillId="0" borderId="0" xfId="0" applyFont="1"/>
    <xf numFmtId="0" fontId="0" fillId="0" borderId="0" xfId="0" applyNumberFormat="1"/>
  </cellXfs>
  <cellStyles count="1">
    <cellStyle name="Normal" xfId="0" builtinId="0"/>
  </cellStyles>
  <dxfs count="10">
    <dxf>
      <font>
        <b/>
        <i val="0"/>
        <strike val="0"/>
        <condense val="0"/>
        <extend val="0"/>
        <outline val="0"/>
        <shadow val="0"/>
        <u val="none"/>
        <vertAlign val="baseline"/>
        <sz val="11"/>
        <color theme="1"/>
        <name val="Corbel"/>
        <family val="2"/>
        <scheme val="minor"/>
      </font>
    </dxf>
    <dxf>
      <numFmt numFmtId="19" formatCode="dd/mm/yyyy"/>
    </dxf>
    <dxf>
      <numFmt numFmtId="164" formatCode="&quot;₹&quot;\ #,##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1" formatCode="dd/m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orbel"/>
        <family val="2"/>
        <scheme val="minor"/>
      </font>
      <alignment horizontal="center" vertical="center" textRotation="0" wrapText="1" indent="0" justifyLastLine="0" shrinkToFit="0" readingOrder="0"/>
    </dxf>
    <dxf>
      <numFmt numFmtId="19" formatCode="dd/mm/yyyy"/>
    </dxf>
    <dxf>
      <numFmt numFmtId="19" formatCode="dd/mm/yyyy"/>
    </dxf>
  </dxfs>
  <tableStyles count="1" defaultTableStyle="TableStyleMedium2" defaultPivotStyle="PivotStyleLight16">
    <tableStyle name="Slicer Style 1" pivot="0" table="0" count="0" xr9:uid="{51A386A8-14A4-47C1-9A1F-1F57BB00C373}"/>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Table!PivotTable8</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cat>
            <c:strRef>
              <c:f>'Pivot Table'!$A$4:$A$5</c:f>
              <c:strCache>
                <c:ptCount val="1"/>
                <c:pt idx="0">
                  <c:v>Tablet</c:v>
                </c:pt>
              </c:strCache>
            </c:strRef>
          </c:cat>
          <c:val>
            <c:numRef>
              <c:f>'Pivot Table'!$B$4:$B$5</c:f>
              <c:numCache>
                <c:formatCode>General</c:formatCode>
                <c:ptCount val="1"/>
                <c:pt idx="0">
                  <c:v>15000</c:v>
                </c:pt>
              </c:numCache>
            </c:numRef>
          </c:val>
          <c:extLst>
            <c:ext xmlns:c16="http://schemas.microsoft.com/office/drawing/2014/chart" uri="{C3380CC4-5D6E-409C-BE32-E72D297353CC}">
              <c16:uniqueId val="{00000002-B370-456B-A17A-1BB92D8FAA0F}"/>
            </c:ext>
          </c:extLst>
        </c:ser>
        <c:dLbls>
          <c:showLegendKey val="0"/>
          <c:showVal val="0"/>
          <c:showCatName val="0"/>
          <c:showSerName val="0"/>
          <c:showPercent val="0"/>
          <c:showBubbleSize val="0"/>
        </c:dLbls>
        <c:gapWidth val="100"/>
        <c:overlap val="-24"/>
        <c:axId val="639983343"/>
        <c:axId val="639985743"/>
      </c:barChart>
      <c:catAx>
        <c:axId val="639983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985743"/>
        <c:crosses val="autoZero"/>
        <c:auto val="1"/>
        <c:lblAlgn val="ctr"/>
        <c:lblOffset val="100"/>
        <c:noMultiLvlLbl val="0"/>
      </c:catAx>
      <c:valAx>
        <c:axId val="639985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98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cat>
            <c:strRef>
              <c:f>'Pivot Table'!$E$4:$E$5</c:f>
              <c:strCache>
                <c:ptCount val="1"/>
                <c:pt idx="0">
                  <c:v>Pune</c:v>
                </c:pt>
              </c:strCache>
            </c:strRef>
          </c:cat>
          <c:val>
            <c:numRef>
              <c:f>'Pivot Table'!$F$4:$F$5</c:f>
              <c:numCache>
                <c:formatCode>General</c:formatCode>
                <c:ptCount val="1"/>
                <c:pt idx="0">
                  <c:v>15000</c:v>
                </c:pt>
              </c:numCache>
            </c:numRef>
          </c:val>
          <c:extLst>
            <c:ext xmlns:c16="http://schemas.microsoft.com/office/drawing/2014/chart" uri="{C3380CC4-5D6E-409C-BE32-E72D297353CC}">
              <c16:uniqueId val="{00000002-65C9-4ED9-8758-6B3026E17D45}"/>
            </c:ext>
          </c:extLst>
        </c:ser>
        <c:dLbls>
          <c:showLegendKey val="0"/>
          <c:showVal val="0"/>
          <c:showCatName val="0"/>
          <c:showSerName val="0"/>
          <c:showPercent val="0"/>
          <c:showBubbleSize val="0"/>
        </c:dLbls>
        <c:gapWidth val="115"/>
        <c:overlap val="-20"/>
        <c:axId val="639980943"/>
        <c:axId val="639971823"/>
      </c:barChart>
      <c:catAx>
        <c:axId val="6399809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971823"/>
        <c:crosses val="autoZero"/>
        <c:auto val="1"/>
        <c:lblAlgn val="ctr"/>
        <c:lblOffset val="100"/>
        <c:noMultiLvlLbl val="0"/>
      </c:catAx>
      <c:valAx>
        <c:axId val="6399718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98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Table!PivotTable11</c:name>
    <c:fmtId val="0"/>
  </c:pivotSource>
  <c:chart>
    <c:title>
      <c:layout>
        <c:manualLayout>
          <c:xMode val="edge"/>
          <c:yMode val="edge"/>
          <c:x val="0.37289385735676744"/>
          <c:y val="0.136322726266039"/>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Table'!$L$4:$L$13</c:f>
              <c:strCache>
                <c:ptCount val="9"/>
                <c:pt idx="0">
                  <c:v>01-Jan</c:v>
                </c:pt>
                <c:pt idx="1">
                  <c:v>02-Jan</c:v>
                </c:pt>
                <c:pt idx="2">
                  <c:v>03-Jan</c:v>
                </c:pt>
                <c:pt idx="3">
                  <c:v>04-Jan</c:v>
                </c:pt>
                <c:pt idx="4">
                  <c:v>05-Jan</c:v>
                </c:pt>
                <c:pt idx="5">
                  <c:v>06-Jan</c:v>
                </c:pt>
                <c:pt idx="6">
                  <c:v>07-Jan</c:v>
                </c:pt>
                <c:pt idx="7">
                  <c:v>08-Jan</c:v>
                </c:pt>
                <c:pt idx="8">
                  <c:v>09-Jan</c:v>
                </c:pt>
              </c:strCache>
            </c:strRef>
          </c:cat>
          <c:val>
            <c:numRef>
              <c:f>'Pivot Table'!$M$4:$M$13</c:f>
              <c:numCache>
                <c:formatCode>"₹"\ #,##0.00</c:formatCode>
                <c:ptCount val="9"/>
                <c:pt idx="0">
                  <c:v>50000</c:v>
                </c:pt>
                <c:pt idx="1">
                  <c:v>20000</c:v>
                </c:pt>
                <c:pt idx="2">
                  <c:v>15000</c:v>
                </c:pt>
                <c:pt idx="3">
                  <c:v>30000</c:v>
                </c:pt>
                <c:pt idx="4">
                  <c:v>25000</c:v>
                </c:pt>
                <c:pt idx="5">
                  <c:v>18000</c:v>
                </c:pt>
                <c:pt idx="6">
                  <c:v>40000</c:v>
                </c:pt>
                <c:pt idx="7">
                  <c:v>22000</c:v>
                </c:pt>
                <c:pt idx="8">
                  <c:v>35000</c:v>
                </c:pt>
              </c:numCache>
            </c:numRef>
          </c:val>
          <c:smooth val="0"/>
          <c:extLst>
            <c:ext xmlns:c16="http://schemas.microsoft.com/office/drawing/2014/chart" uri="{C3380CC4-5D6E-409C-BE32-E72D297353CC}">
              <c16:uniqueId val="{00000000-C776-4AAD-8EC7-BD6865FBC861}"/>
            </c:ext>
          </c:extLst>
        </c:ser>
        <c:dLbls>
          <c:showLegendKey val="0"/>
          <c:showVal val="0"/>
          <c:showCatName val="0"/>
          <c:showSerName val="0"/>
          <c:showPercent val="0"/>
          <c:showBubbleSize val="0"/>
        </c:dLbls>
        <c:marker val="1"/>
        <c:smooth val="0"/>
        <c:axId val="639995343"/>
        <c:axId val="639979023"/>
      </c:lineChart>
      <c:catAx>
        <c:axId val="639995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9979023"/>
        <c:crosses val="autoZero"/>
        <c:auto val="1"/>
        <c:lblAlgn val="ctr"/>
        <c:lblOffset val="100"/>
        <c:noMultiLvlLbl val="0"/>
      </c:catAx>
      <c:valAx>
        <c:axId val="639979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999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175260</xdr:colOff>
      <xdr:row>13</xdr:row>
      <xdr:rowOff>87630</xdr:rowOff>
    </xdr:from>
    <xdr:to>
      <xdr:col>3</xdr:col>
      <xdr:colOff>335280</xdr:colOff>
      <xdr:row>25</xdr:row>
      <xdr:rowOff>121920</xdr:rowOff>
    </xdr:to>
    <xdr:graphicFrame macro="">
      <xdr:nvGraphicFramePr>
        <xdr:cNvPr id="2" name="Chart 1">
          <a:extLst>
            <a:ext uri="{FF2B5EF4-FFF2-40B4-BE49-F238E27FC236}">
              <a16:creationId xmlns:a16="http://schemas.microsoft.com/office/drawing/2014/main" id="{A26502FD-E052-F04E-725D-969E28AF5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13</xdr:row>
      <xdr:rowOff>99060</xdr:rowOff>
    </xdr:from>
    <xdr:to>
      <xdr:col>8</xdr:col>
      <xdr:colOff>114300</xdr:colOff>
      <xdr:row>25</xdr:row>
      <xdr:rowOff>129540</xdr:rowOff>
    </xdr:to>
    <xdr:graphicFrame macro="">
      <xdr:nvGraphicFramePr>
        <xdr:cNvPr id="3" name="Chart 2">
          <a:extLst>
            <a:ext uri="{FF2B5EF4-FFF2-40B4-BE49-F238E27FC236}">
              <a16:creationId xmlns:a16="http://schemas.microsoft.com/office/drawing/2014/main" id="{469CB0DD-39C1-F613-236B-08E66A2C1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13</xdr:row>
      <xdr:rowOff>106680</xdr:rowOff>
    </xdr:from>
    <xdr:to>
      <xdr:col>13</xdr:col>
      <xdr:colOff>205740</xdr:colOff>
      <xdr:row>25</xdr:row>
      <xdr:rowOff>167640</xdr:rowOff>
    </xdr:to>
    <xdr:graphicFrame macro="">
      <xdr:nvGraphicFramePr>
        <xdr:cNvPr id="4" name="Chart 3">
          <a:extLst>
            <a:ext uri="{FF2B5EF4-FFF2-40B4-BE49-F238E27FC236}">
              <a16:creationId xmlns:a16="http://schemas.microsoft.com/office/drawing/2014/main" id="{2C44C309-1E27-CF31-EE48-8E220B04A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106680</xdr:colOff>
      <xdr:row>6</xdr:row>
      <xdr:rowOff>45721</xdr:rowOff>
    </xdr:from>
    <xdr:to>
      <xdr:col>6</xdr:col>
      <xdr:colOff>152400</xdr:colOff>
      <xdr:row>13</xdr:row>
      <xdr:rowOff>22860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8AEC8C0A-A352-709A-9187-5CE9F957F00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35580" y="1143001"/>
              <a:ext cx="177546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548640</xdr:colOff>
      <xdr:row>6</xdr:row>
      <xdr:rowOff>7620</xdr:rowOff>
    </xdr:from>
    <xdr:to>
      <xdr:col>9</xdr:col>
      <xdr:colOff>548640</xdr:colOff>
      <xdr:row>13</xdr:row>
      <xdr:rowOff>22860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8AAD5D8D-2734-B591-4579-862501A9DDC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907280" y="110490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335280</xdr:colOff>
      <xdr:row>7</xdr:row>
      <xdr:rowOff>22860</xdr:rowOff>
    </xdr:from>
    <xdr:to>
      <xdr:col>1</xdr:col>
      <xdr:colOff>693420</xdr:colOff>
      <xdr:row>10</xdr:row>
      <xdr:rowOff>22860</xdr:rowOff>
    </xdr:to>
    <xdr:sp macro="" textlink="">
      <xdr:nvSpPr>
        <xdr:cNvPr id="7" name="Rectangle: Rounded Corners 6">
          <a:extLst>
            <a:ext uri="{FF2B5EF4-FFF2-40B4-BE49-F238E27FC236}">
              <a16:creationId xmlns:a16="http://schemas.microsoft.com/office/drawing/2014/main" id="{A695D2EC-D792-1F01-9E6A-0D127F77DE4B}"/>
            </a:ext>
          </a:extLst>
        </xdr:cNvPr>
        <xdr:cNvSpPr/>
      </xdr:nvSpPr>
      <xdr:spPr>
        <a:xfrm>
          <a:off x="335280" y="1303020"/>
          <a:ext cx="1219200" cy="5486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Sum of Sales</a:t>
          </a:r>
        </a:p>
        <a:p>
          <a:pPr algn="ctr"/>
          <a:r>
            <a:rPr lang="en-IN" sz="1100" b="1">
              <a:solidFill>
                <a:schemeClr val="tx1"/>
              </a:solidFill>
            </a:rPr>
            <a:t>255000.00</a:t>
          </a:r>
        </a:p>
      </xdr:txBody>
    </xdr:sp>
    <xdr:clientData/>
  </xdr:twoCellAnchor>
  <xdr:twoCellAnchor>
    <xdr:from>
      <xdr:col>14</xdr:col>
      <xdr:colOff>121920</xdr:colOff>
      <xdr:row>2</xdr:row>
      <xdr:rowOff>152400</xdr:rowOff>
    </xdr:from>
    <xdr:to>
      <xdr:col>16</xdr:col>
      <xdr:colOff>236220</xdr:colOff>
      <xdr:row>6</xdr:row>
      <xdr:rowOff>76200</xdr:rowOff>
    </xdr:to>
    <xdr:sp macro="" textlink="">
      <xdr:nvSpPr>
        <xdr:cNvPr id="8" name="Rectangle: Rounded Corners 7">
          <a:extLst>
            <a:ext uri="{FF2B5EF4-FFF2-40B4-BE49-F238E27FC236}">
              <a16:creationId xmlns:a16="http://schemas.microsoft.com/office/drawing/2014/main" id="{886B1D03-701B-83F8-F72A-883AC52B358E}"/>
            </a:ext>
          </a:extLst>
        </xdr:cNvPr>
        <xdr:cNvSpPr/>
      </xdr:nvSpPr>
      <xdr:spPr>
        <a:xfrm>
          <a:off x="10050780" y="518160"/>
          <a:ext cx="1333500" cy="655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Max Sales</a:t>
          </a:r>
        </a:p>
        <a:p>
          <a:pPr algn="ctr"/>
          <a:endParaRPr lang="en-IN" sz="1200" b="1">
            <a:solidFill>
              <a:schemeClr val="tx1"/>
            </a:solidFill>
          </a:endParaRPr>
        </a:p>
      </xdr:txBody>
    </xdr:sp>
    <xdr:clientData/>
  </xdr:twoCellAnchor>
  <xdr:oneCellAnchor>
    <xdr:from>
      <xdr:col>14</xdr:col>
      <xdr:colOff>662940</xdr:colOff>
      <xdr:row>5</xdr:row>
      <xdr:rowOff>129540</xdr:rowOff>
    </xdr:from>
    <xdr:ext cx="184731" cy="264560"/>
    <xdr:sp macro="" textlink="">
      <xdr:nvSpPr>
        <xdr:cNvPr id="9" name="TextBox 8">
          <a:extLst>
            <a:ext uri="{FF2B5EF4-FFF2-40B4-BE49-F238E27FC236}">
              <a16:creationId xmlns:a16="http://schemas.microsoft.com/office/drawing/2014/main" id="{105C0B6B-5039-292E-122C-627AB7B013A9}"/>
            </a:ext>
          </a:extLst>
        </xdr:cNvPr>
        <xdr:cNvSpPr txBox="1"/>
      </xdr:nvSpPr>
      <xdr:spPr>
        <a:xfrm>
          <a:off x="10591800" y="1043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14</xdr:col>
      <xdr:colOff>152400</xdr:colOff>
      <xdr:row>4</xdr:row>
      <xdr:rowOff>60960</xdr:rowOff>
    </xdr:from>
    <xdr:ext cx="1394460" cy="350406"/>
    <xdr:sp macro="" textlink="">
      <xdr:nvSpPr>
        <xdr:cNvPr id="10" name="TextBox 9">
          <a:extLst>
            <a:ext uri="{FF2B5EF4-FFF2-40B4-BE49-F238E27FC236}">
              <a16:creationId xmlns:a16="http://schemas.microsoft.com/office/drawing/2014/main" id="{15FD430A-4CB0-4DAF-730E-59586E144B0A}"/>
            </a:ext>
          </a:extLst>
        </xdr:cNvPr>
        <xdr:cNvSpPr txBox="1"/>
      </xdr:nvSpPr>
      <xdr:spPr>
        <a:xfrm>
          <a:off x="10081260" y="792480"/>
          <a:ext cx="1394460" cy="350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50000.00</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LENDRA PANDEY" refreshedDate="46089.760279166665" createdVersion="8" refreshedVersion="8" minRefreshableVersion="3" recordCount="9" xr:uid="{74E34EC3-FBE0-4A94-B908-AABB0464E5CA}">
  <cacheSource type="worksheet">
    <worksheetSource name="Table1"/>
  </cacheSource>
  <cacheFields count="4">
    <cacheField name="Date" numFmtId="16">
      <sharedItems containsSemiMixedTypes="0" containsNonDate="0" containsDate="1" containsString="0" minDate="2026-01-01T00:00:00" maxDate="2026-01-10T00:00:00" count="9">
        <d v="2026-01-01T00:00:00"/>
        <d v="2026-01-02T00:00:00"/>
        <d v="2026-01-03T00:00:00"/>
        <d v="2026-01-04T00:00:00"/>
        <d v="2026-01-05T00:00:00"/>
        <d v="2026-01-06T00:00:00"/>
        <d v="2026-01-07T00:00:00"/>
        <d v="2026-01-08T00:00:00"/>
        <d v="2026-01-09T00:00:00"/>
      </sharedItems>
    </cacheField>
    <cacheField name="Product" numFmtId="0">
      <sharedItems/>
    </cacheField>
    <cacheField name="City" numFmtId="0">
      <sharedItems/>
    </cacheField>
    <cacheField name="Sales" numFmtId="164">
      <sharedItems containsSemiMixedTypes="0" containsString="0" containsNumber="1" containsInteger="1" minValue="15000" maxValue="5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LENDRA PANDEY" refreshedDate="46090.699031828706" backgroundQuery="1" createdVersion="8" refreshedVersion="8" minRefreshableVersion="3" recordCount="0" supportSubquery="1" supportAdvancedDrill="1" xr:uid="{FE97A739-045C-4F0D-BE62-8E08298A24A8}">
  <cacheSource type="external" connectionId="1"/>
  <cacheFields count="2">
    <cacheField name="[Table1].[City].[City]" caption="City" numFmtId="0" hierarchy="2" level="1">
      <sharedItems containsSemiMixedTypes="0" containsNonDate="0" containsString="0"/>
    </cacheField>
    <cacheField name="[Table1].[Product].[Product]" caption="Product" numFmtId="0" hierarchy="1" level="1">
      <sharedItems containsSemiMixedTypes="0" containsNonDate="0" containsString="0"/>
    </cacheField>
  </cacheFields>
  <cacheHierarchies count="7">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LENDRA PANDEY" refreshedDate="46090.699032291668" backgroundQuery="1" createdVersion="8" refreshedVersion="8" minRefreshableVersion="3" recordCount="0" supportSubquery="1" supportAdvancedDrill="1" xr:uid="{1ADB6F1B-20CC-4AC6-A6A6-E03C615942E8}">
  <cacheSource type="external" connectionId="1"/>
  <cacheFields count="3">
    <cacheField name="[Table1].[City].[City]" caption="City" numFmtId="0" hierarchy="2" level="1">
      <sharedItems count="1">
        <s v="Pune"/>
      </sharedItems>
    </cacheField>
    <cacheField name="[Measures].[Sum of Sales]" caption="Sum of Sales" numFmtId="0" hierarchy="6" level="32767"/>
    <cacheField name="[Table1].[Product].[Product]" caption="Product" numFmtId="0" hierarchy="1" level="1">
      <sharedItems containsSemiMixedTypes="0" containsNonDate="0" containsString="0"/>
    </cacheField>
  </cacheFields>
  <cacheHierarchies count="7">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LENDRA PANDEY" refreshedDate="46090.699032638891" backgroundQuery="1" createdVersion="8" refreshedVersion="8" minRefreshableVersion="3" recordCount="0" supportSubquery="1" supportAdvancedDrill="1" xr:uid="{BCECF5A5-CD89-405A-AF4F-26F8BD8A1808}">
  <cacheSource type="external" connectionId="1"/>
  <cacheFields count="3">
    <cacheField name="[Table1].[Product].[Product]" caption="Product" numFmtId="0" hierarchy="1" level="1">
      <sharedItems count="1">
        <s v="Tablet"/>
      </sharedItems>
    </cacheField>
    <cacheField name="[Measures].[Sum of Sales]" caption="Sum of Sales" numFmtId="0" hierarchy="6" level="32767"/>
    <cacheField name="[Table1].[City].[City]" caption="City" numFmtId="0" hierarchy="2" level="1">
      <sharedItems containsSemiMixedTypes="0" containsNonDate="0" containsString="0"/>
    </cacheField>
  </cacheFields>
  <cacheHierarchies count="7">
    <cacheHierarchy uniqueName="[Table1].[Date]" caption="Date" attribute="1" time="1" defaultMemberUniqueName="[Table1].[Date].[All]" allUniqueName="[Table1].[Date].[All]" dimensionUniqueName="[Table1]" displayFolder="" count="0"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LENDRA PANDEY" refreshedDate="46089.768209490743" backgroundQuery="1" createdVersion="3" refreshedVersion="8" minRefreshableVersion="3" recordCount="0" supportSubquery="1" supportAdvancedDrill="1" xr:uid="{595B0F36-5A97-4342-9D41-48F70AFE43D0}">
  <cacheSource type="external" connectionId="1">
    <extLst>
      <ext xmlns:x14="http://schemas.microsoft.com/office/spreadsheetml/2009/9/main" uri="{F057638F-6D5F-4e77-A914-E7F072B9BCA8}">
        <x14:sourceConnection name="ThisWorkbookDataModel"/>
      </ext>
    </extLst>
  </cacheSource>
  <cacheFields count="0"/>
  <cacheHierarchies count="8">
    <cacheHierarchy uniqueName="[Measures]" caption="Measures" attribute="1" keyAttribute="1" defaultMemberUniqueName="[Measures].[__No measures defined]" dimensionUniqueName="[Measures]" displayFolder="" measures="1" count="1" memberValueDatatype="130" unbalanced="0"/>
    <cacheHierarchy uniqueName="[Table1].[Date]" caption="Date" attribute="1" time="1" defaultMemberUniqueName="[Table1].[Date].[All]" allUniqueName="[Table1].[Date].[All]" dimensionUniqueName="[Table1]" displayFolder="" count="2" memberValueDatatype="7" unbalanced="0"/>
    <cacheHierarchy uniqueName="[Table1].[Product]" caption="Product" attribute="1" defaultMemberUniqueName="[Table1].[Product].[All]" allUniqueName="[Table1].[Produc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6175727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s v="Laptop"/>
    <s v="Delhi"/>
    <n v="50000"/>
  </r>
  <r>
    <x v="1"/>
    <s v="Mobile"/>
    <s v="Mumbai"/>
    <n v="20000"/>
  </r>
  <r>
    <x v="2"/>
    <s v="Tablet"/>
    <s v="Pune"/>
    <n v="15000"/>
  </r>
  <r>
    <x v="3"/>
    <s v="Laptop"/>
    <s v="Delhi"/>
    <n v="30000"/>
  </r>
  <r>
    <x v="4"/>
    <s v="Mobile"/>
    <s v="Delhi"/>
    <n v="25000"/>
  </r>
  <r>
    <x v="5"/>
    <s v="Tablet"/>
    <s v="Mumbai"/>
    <n v="18000"/>
  </r>
  <r>
    <x v="6"/>
    <s v="Laptop"/>
    <s v="Pune"/>
    <n v="40000"/>
  </r>
  <r>
    <x v="7"/>
    <s v="Mobile"/>
    <s v="Delhi"/>
    <n v="22000"/>
  </r>
  <r>
    <x v="8"/>
    <s v="Laptop"/>
    <s v="Mumbai"/>
    <n v="3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462F5-EF47-48C2-9B58-5FFD7EAFDA0C}" name="PivotTable1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7">
    <pivotHierarchy dragToData="1"/>
    <pivotHierarchy multipleItemSelectionAllowed="1" dragToData="1">
      <members count="1" level="1">
        <member name="[Table1].[Product].&amp;[Tablet]"/>
      </members>
    </pivotHierarchy>
    <pivotHierarchy multipleItemSelectionAllowed="1" dragToData="1">
      <members count="1" level="1">
        <member name="[Table1].[City].&amp;[Pune]"/>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D839E-185F-42D5-B9EA-829C713E0B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13" firstHeaderRow="1" firstDataRow="1" firstDataCol="1"/>
  <pivotFields count="4">
    <pivotField axis="axisRow" numFmtId="16" showAll="0">
      <items count="10">
        <item x="0"/>
        <item x="1"/>
        <item x="2"/>
        <item x="3"/>
        <item x="4"/>
        <item x="5"/>
        <item x="6"/>
        <item x="7"/>
        <item x="8"/>
        <item t="default"/>
      </items>
    </pivotField>
    <pivotField showAll="0"/>
    <pivotField showAll="0"/>
    <pivotField dataField="1" numFmtId="164" showAll="0"/>
  </pivotFields>
  <rowFields count="1">
    <field x="0"/>
  </rowFields>
  <rowItems count="10">
    <i>
      <x/>
    </i>
    <i>
      <x v="1"/>
    </i>
    <i>
      <x v="2"/>
    </i>
    <i>
      <x v="3"/>
    </i>
    <i>
      <x v="4"/>
    </i>
    <i>
      <x v="5"/>
    </i>
    <i>
      <x v="6"/>
    </i>
    <i>
      <x v="7"/>
    </i>
    <i>
      <x v="8"/>
    </i>
    <i t="grand">
      <x/>
    </i>
  </rowItems>
  <colItems count="1">
    <i/>
  </colItems>
  <dataFields count="1">
    <dataField name="Sum of Sales" fld="3"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6B04EE-6F2D-465E-A6BA-8ED1FF64FBA8}" name="PivotTable10"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
    <pivotHierarchy dragToData="1"/>
    <pivotHierarchy multipleItemSelectionAllowed="1" dragToData="1">
      <members count="1" level="1">
        <member name="[Table1].[Product].&amp;[Tablet]"/>
      </members>
    </pivotHierarchy>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7566C-5BEE-474F-B07A-C5E7FAD7C95F}" name="PivotTable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
    <pivotField name="Product Name"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7">
    <pivotHierarchy dragToData="1"/>
    <pivotHierarchy multipleItemSelectionAllowed="1" dragToData="1"/>
    <pivotHierarchy multipleItemSelectionAllowed="1" dragToData="1">
      <members count="1" level="1">
        <member name="[Table1].[City].&amp;[Pune]"/>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497F196-51E2-4F66-9C93-23CDEEE2D076}" sourceName="[Table1].[City]">
  <pivotTables>
    <pivotTable tabId="4" name="PivotTable12"/>
    <pivotTable tabId="2" name="PivotTable10"/>
    <pivotTable tabId="2" name="PivotTable8"/>
  </pivotTables>
  <data>
    <olap pivotCacheId="617572799">
      <levels count="2">
        <level uniqueName="[Table1].[City].[(All)]" sourceCaption="(All)" count="0"/>
        <level uniqueName="[Table1].[City].[City]" sourceCaption="City" count="3" sortOrder="ascending">
          <ranges>
            <range startItem="0">
              <i n="[Table1].[City].&amp;[Mumbai]" c="Mumbai"/>
              <i n="[Table1].[City].&amp;[Pune]" c="Pune"/>
              <i n="[Table1].[City].&amp;[Delhi]" c="Delhi" nd="1"/>
            </range>
          </ranges>
        </level>
      </levels>
      <selections count="1">
        <selection n="[Table1].[City].&amp;[Pun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DABDB95-72CC-467F-992A-5ECFA6DE6FCF}" sourceName="[Table1].[Product]">
  <pivotTables>
    <pivotTable tabId="2" name="PivotTable10"/>
    <pivotTable tabId="2" name="PivotTable8"/>
    <pivotTable tabId="4" name="PivotTable12"/>
  </pivotTables>
  <data>
    <olap pivotCacheId="617572799">
      <levels count="2">
        <level uniqueName="[Table1].[Product].[(All)]" sourceCaption="(All)" count="0"/>
        <level uniqueName="[Table1].[Product].[Product]" sourceCaption="Product" count="3">
          <ranges>
            <range startItem="0">
              <i n="[Table1].[Product].&amp;[Laptop]" c="Laptop"/>
              <i n="[Table1].[Product].&amp;[Tablet]" c="Tablet"/>
              <i n="[Table1].[Product].&amp;[Mobile]" c="Mobile" nd="1"/>
            </range>
          </ranges>
        </level>
      </levels>
      <selections count="1">
        <selection n="[Table1].[Product].&amp;[Table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2FB3D6C-CAFB-4BE7-9836-5B07F1006A98}" cache="Slicer_City" caption="City" level="1" style="SlicerStyleOther1" rowHeight="234950"/>
  <slicer name="Product" xr10:uid="{65C5257E-8156-4B65-9259-9626C36FA3D9}" cache="Slicer_Product" caption="Product"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05B4FE-BFC6-4C6C-A0E0-A8B391455A05}" name="Table2" displayName="Table2" ref="A3:D12" totalsRowShown="0">
  <autoFilter ref="A3:D12" xr:uid="{5405B4FE-BFC6-4C6C-A0E0-A8B391455A05}"/>
  <tableColumns count="4">
    <tableColumn id="1" xr3:uid="{DE9E0C94-C973-465B-9AC6-78435D97C32A}" name="Date" dataDxfId="9"/>
    <tableColumn id="2" xr3:uid="{D0D04CDB-5C74-4A20-ABE9-18524D38F632}" name="Product"/>
    <tableColumn id="3" xr3:uid="{BE74BEBB-32A8-4C3E-A7FA-A4363E2A64FD}" name="City"/>
    <tableColumn id="4" xr3:uid="{6BC77CCF-B527-42D7-9023-C67C7BA6DC85}"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25DE96-6772-4B0D-A6D6-ACD9DA6322AF}" name="Table5" displayName="Table5" ref="G8:H11" totalsRowShown="0" headerRowDxfId="0">
  <autoFilter ref="G8:H11" xr:uid="{2A25DE96-6772-4B0D-A6D6-ACD9DA6322AF}"/>
  <tableColumns count="2">
    <tableColumn id="1" xr3:uid="{0E21671F-EEB4-4E8C-A71C-AAD5050D28A6}" name="       Top  3 Sales"/>
    <tableColumn id="2" xr3:uid="{36282835-01FE-4DC2-A10C-E255C60FC5C3}"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D5E588-E2F8-41C4-8DE8-8F73F495F246}" name="Table3" displayName="Table3" ref="A3:D12" totalsRowShown="0">
  <autoFilter ref="A3:D12" xr:uid="{B1D5E588-E2F8-41C4-8DE8-8F73F495F246}"/>
  <tableColumns count="4">
    <tableColumn id="1" xr3:uid="{173B40D6-C7E0-4123-8808-6E0A55B32A89}" name="Date" dataDxfId="8"/>
    <tableColumn id="2" xr3:uid="{7CB31293-A3CD-4DD6-882D-FF0B81153173}" name="Product"/>
    <tableColumn id="3" xr3:uid="{FE3103EA-FE5B-49F4-9FFB-9FBC70CE358C}" name="City"/>
    <tableColumn id="4" xr3:uid="{2DEC08F8-8F85-4287-8EBD-3CD8D92DE330}" name="Sa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5B994B-68CF-47DC-B956-4705E96D7D07}" name="Table4" displayName="Table4" ref="A3:D4" totalsRowShown="0">
  <autoFilter ref="A3:D4" xr:uid="{055B994B-68CF-47DC-B956-4705E96D7D07}"/>
  <tableColumns count="4">
    <tableColumn id="1" xr3:uid="{ACC3381B-E29E-4E7A-987B-F2ECB06DB5B6}" name="Date" dataDxfId="1"/>
    <tableColumn id="2" xr3:uid="{AF984CE0-3ED1-406C-A1F8-9876B4AB20C9}" name="Product"/>
    <tableColumn id="3" xr3:uid="{E91B5281-DF36-456F-9C33-CD97EF9D2206}" name="City"/>
    <tableColumn id="4" xr3:uid="{D665DC05-F8F9-4010-86A1-F90C2F361023}" name="Sal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0FA181-0E8F-4D17-A32E-A4DCB1B18CF8}" name="Table1" displayName="Table1" ref="A1:D10" totalsRowShown="0" headerRowDxfId="7" dataDxfId="6">
  <autoFilter ref="A1:D10" xr:uid="{A00FA181-0E8F-4D17-A32E-A4DCB1B18CF8}"/>
  <tableColumns count="4">
    <tableColumn id="1" xr3:uid="{AF21F67C-F64D-45FC-8333-E5AB3EA9BF55}" name="Date" dataDxfId="5"/>
    <tableColumn id="2" xr3:uid="{731CFBDE-E932-40DD-A583-013D99114A2F}" name="Product" dataDxfId="4"/>
    <tableColumn id="3" xr3:uid="{5BBF82ED-16E7-4E67-8FF1-06C7C0D54ED1}" name="City" dataDxfId="3"/>
    <tableColumn id="4" xr3:uid="{CECD817E-0C2A-4B32-848D-0BDAB8925000}" name="Sales" dataDxfId="2"/>
  </tableColumns>
  <tableStyleInfo name="TableStyleMedium15"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8BBF-0018-4451-B7F1-CD49B5C85087}">
  <dimension ref="A3:C20"/>
  <sheetViews>
    <sheetView workbookViewId="0">
      <selection activeCell="A3" sqref="A3"/>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7E507-546A-4D88-A60B-AE09414A038C}">
  <dimension ref="A1:H12"/>
  <sheetViews>
    <sheetView showRowColHeaders="0" tabSelected="1" zoomScaleNormal="100" workbookViewId="0">
      <selection activeCell="H14" sqref="H14"/>
    </sheetView>
  </sheetViews>
  <sheetFormatPr defaultRowHeight="14.4" x14ac:dyDescent="0.3"/>
  <cols>
    <col min="1" max="1" width="10.33203125" customWidth="1"/>
    <col min="2" max="2" width="9.88671875" customWidth="1"/>
    <col min="3" max="4" width="9" customWidth="1"/>
    <col min="7" max="7" width="16.21875" customWidth="1"/>
    <col min="8" max="8" width="10.6640625" customWidth="1"/>
  </cols>
  <sheetData>
    <row r="1" spans="1:8" x14ac:dyDescent="0.3">
      <c r="A1" s="20" t="s">
        <v>13</v>
      </c>
    </row>
    <row r="3" spans="1:8" x14ac:dyDescent="0.3">
      <c r="A3" t="s">
        <v>0</v>
      </c>
      <c r="B3" t="s">
        <v>1</v>
      </c>
      <c r="C3" t="s">
        <v>2</v>
      </c>
      <c r="D3" t="s">
        <v>3</v>
      </c>
    </row>
    <row r="4" spans="1:8" x14ac:dyDescent="0.3">
      <c r="A4" s="19">
        <v>46023</v>
      </c>
      <c r="B4" t="s">
        <v>4</v>
      </c>
      <c r="C4" t="s">
        <v>5</v>
      </c>
      <c r="D4">
        <v>50000</v>
      </c>
    </row>
    <row r="5" spans="1:8" x14ac:dyDescent="0.3">
      <c r="A5" s="19">
        <v>46024</v>
      </c>
      <c r="B5" t="s">
        <v>6</v>
      </c>
      <c r="C5" t="s">
        <v>7</v>
      </c>
      <c r="D5">
        <v>20000</v>
      </c>
    </row>
    <row r="6" spans="1:8" x14ac:dyDescent="0.3">
      <c r="A6" s="19">
        <v>46025</v>
      </c>
      <c r="B6" t="s">
        <v>8</v>
      </c>
      <c r="C6" t="s">
        <v>9</v>
      </c>
      <c r="D6">
        <v>15000</v>
      </c>
      <c r="G6" t="str">
        <f>INDEX(Table2[Product],MATCH(MAX(Table2[Sales]),Table2[Sales],0))</f>
        <v>Laptop</v>
      </c>
      <c r="H6">
        <f>MAX(Table2[Sales])</f>
        <v>50000</v>
      </c>
    </row>
    <row r="7" spans="1:8" x14ac:dyDescent="0.3">
      <c r="A7" s="19">
        <v>46026</v>
      </c>
      <c r="B7" t="s">
        <v>4</v>
      </c>
      <c r="C7" t="s">
        <v>5</v>
      </c>
      <c r="D7">
        <v>30000</v>
      </c>
    </row>
    <row r="8" spans="1:8" ht="17.399999999999999" x14ac:dyDescent="0.45">
      <c r="A8" s="19">
        <v>46027</v>
      </c>
      <c r="B8" t="s">
        <v>6</v>
      </c>
      <c r="C8" t="s">
        <v>5</v>
      </c>
      <c r="D8">
        <v>25000</v>
      </c>
      <c r="G8" s="20" t="s">
        <v>17</v>
      </c>
      <c r="H8" s="20" t="s">
        <v>19</v>
      </c>
    </row>
    <row r="9" spans="1:8" x14ac:dyDescent="0.3">
      <c r="A9" s="19">
        <v>46028</v>
      </c>
      <c r="B9" t="s">
        <v>8</v>
      </c>
      <c r="C9" t="s">
        <v>7</v>
      </c>
      <c r="D9">
        <v>18000</v>
      </c>
      <c r="G9" t="s">
        <v>15</v>
      </c>
      <c r="H9">
        <f>LARGE(Table2[Sales],1)</f>
        <v>50000</v>
      </c>
    </row>
    <row r="10" spans="1:8" x14ac:dyDescent="0.3">
      <c r="A10" s="19">
        <v>46029</v>
      </c>
      <c r="B10" t="s">
        <v>4</v>
      </c>
      <c r="C10" t="s">
        <v>9</v>
      </c>
      <c r="D10">
        <v>40000</v>
      </c>
      <c r="G10" t="s">
        <v>16</v>
      </c>
      <c r="H10">
        <f>LARGE(Table2[Sales],2)</f>
        <v>40000</v>
      </c>
    </row>
    <row r="11" spans="1:8" x14ac:dyDescent="0.3">
      <c r="A11" s="19">
        <v>46030</v>
      </c>
      <c r="B11" t="s">
        <v>6</v>
      </c>
      <c r="C11" t="s">
        <v>5</v>
      </c>
      <c r="D11">
        <v>22000</v>
      </c>
      <c r="G11" t="s">
        <v>18</v>
      </c>
      <c r="H11">
        <f>LARGE(Table2[Sales],3)</f>
        <v>35000</v>
      </c>
    </row>
    <row r="12" spans="1:8" x14ac:dyDescent="0.3">
      <c r="A12" s="19">
        <v>46031</v>
      </c>
      <c r="B12" t="s">
        <v>4</v>
      </c>
      <c r="C12" t="s">
        <v>7</v>
      </c>
      <c r="D12">
        <v>35000</v>
      </c>
    </row>
  </sheetData>
  <phoneticPr fontId="2" type="noConversion"/>
  <conditionalFormatting sqref="A3:D12">
    <cfRule type="dataBar" priority="2">
      <dataBar>
        <cfvo type="min"/>
        <cfvo type="max"/>
        <color rgb="FF638EC6"/>
      </dataBar>
      <extLst>
        <ext xmlns:x14="http://schemas.microsoft.com/office/spreadsheetml/2009/9/main" uri="{B025F937-C7B1-47D3-B67F-A62EFF666E3E}">
          <x14:id>{0D92EB02-FAA4-40F0-AA50-BD1451F6FD9C}</x14:id>
        </ext>
      </extLst>
    </cfRule>
  </conditionalFormatting>
  <conditionalFormatting sqref="G9:G11">
    <cfRule type="dataBar" priority="1">
      <dataBar>
        <cfvo type="min"/>
        <cfvo type="max"/>
        <color rgb="FFFFB628"/>
      </dataBar>
      <extLst>
        <ext xmlns:x14="http://schemas.microsoft.com/office/spreadsheetml/2009/9/main" uri="{B025F937-C7B1-47D3-B67F-A62EFF666E3E}">
          <x14:id>{6B2D28BF-8586-4DD0-AC1B-9F4F6EDE7389}</x14:id>
        </ext>
      </extLst>
    </cfRule>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0D92EB02-FAA4-40F0-AA50-BD1451F6FD9C}">
            <x14:dataBar minLength="0" maxLength="100" border="1" negativeBarBorderColorSameAsPositive="0">
              <x14:cfvo type="autoMin"/>
              <x14:cfvo type="autoMax"/>
              <x14:borderColor rgb="FF638EC6"/>
              <x14:negativeFillColor rgb="FFFF0000"/>
              <x14:negativeBorderColor rgb="FFFF0000"/>
              <x14:axisColor rgb="FF000000"/>
            </x14:dataBar>
          </x14:cfRule>
          <xm:sqref>A3:D12</xm:sqref>
        </x14:conditionalFormatting>
        <x14:conditionalFormatting xmlns:xm="http://schemas.microsoft.com/office/excel/2006/main">
          <x14:cfRule type="dataBar" id="{6B2D28BF-8586-4DD0-AC1B-9F4F6EDE7389}">
            <x14:dataBar minLength="0" maxLength="100" border="1" negativeBarBorderColorSameAsPositive="0">
              <x14:cfvo type="autoMin"/>
              <x14:cfvo type="autoMax"/>
              <x14:borderColor rgb="FFFFB628"/>
              <x14:negativeFillColor rgb="FFFF0000"/>
              <x14:negativeBorderColor rgb="FFFF0000"/>
              <x14:axisColor rgb="FF000000"/>
            </x14:dataBar>
          </x14:cfRule>
          <xm:sqref>G9:G11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1B1C-F9F7-4F9D-A695-401331750954}">
  <dimension ref="A1:D12"/>
  <sheetViews>
    <sheetView workbookViewId="0">
      <selection activeCell="N13" sqref="N13"/>
    </sheetView>
  </sheetViews>
  <sheetFormatPr defaultRowHeight="14.4" x14ac:dyDescent="0.3"/>
  <cols>
    <col min="1" max="1" width="10.33203125" customWidth="1"/>
    <col min="2" max="2" width="9.88671875" customWidth="1"/>
    <col min="3" max="4" width="9" customWidth="1"/>
  </cols>
  <sheetData>
    <row r="1" spans="1:4" x14ac:dyDescent="0.3">
      <c r="A1" s="20" t="s">
        <v>13</v>
      </c>
    </row>
    <row r="3" spans="1:4" x14ac:dyDescent="0.3">
      <c r="A3" t="s">
        <v>0</v>
      </c>
      <c r="B3" t="s">
        <v>1</v>
      </c>
      <c r="C3" t="s">
        <v>2</v>
      </c>
      <c r="D3" t="s">
        <v>3</v>
      </c>
    </row>
    <row r="4" spans="1:4" x14ac:dyDescent="0.3">
      <c r="A4" s="19">
        <v>46023</v>
      </c>
      <c r="B4" t="s">
        <v>4</v>
      </c>
      <c r="C4" t="s">
        <v>5</v>
      </c>
      <c r="D4">
        <v>50000</v>
      </c>
    </row>
    <row r="5" spans="1:4" x14ac:dyDescent="0.3">
      <c r="A5" s="19">
        <v>46024</v>
      </c>
      <c r="B5" t="s">
        <v>6</v>
      </c>
      <c r="C5" t="s">
        <v>7</v>
      </c>
      <c r="D5">
        <v>20000</v>
      </c>
    </row>
    <row r="6" spans="1:4" x14ac:dyDescent="0.3">
      <c r="A6" s="19">
        <v>46025</v>
      </c>
      <c r="B6" t="s">
        <v>8</v>
      </c>
      <c r="C6" t="s">
        <v>9</v>
      </c>
      <c r="D6">
        <v>15000</v>
      </c>
    </row>
    <row r="7" spans="1:4" x14ac:dyDescent="0.3">
      <c r="A7" s="19">
        <v>46026</v>
      </c>
      <c r="B7" t="s">
        <v>4</v>
      </c>
      <c r="C7" t="s">
        <v>5</v>
      </c>
      <c r="D7">
        <v>30000</v>
      </c>
    </row>
    <row r="8" spans="1:4" x14ac:dyDescent="0.3">
      <c r="A8" s="19">
        <v>46027</v>
      </c>
      <c r="B8" t="s">
        <v>6</v>
      </c>
      <c r="C8" t="s">
        <v>5</v>
      </c>
      <c r="D8">
        <v>25000</v>
      </c>
    </row>
    <row r="9" spans="1:4" x14ac:dyDescent="0.3">
      <c r="A9" s="19">
        <v>46028</v>
      </c>
      <c r="B9" t="s">
        <v>8</v>
      </c>
      <c r="C9" t="s">
        <v>7</v>
      </c>
      <c r="D9">
        <v>18000</v>
      </c>
    </row>
    <row r="10" spans="1:4" x14ac:dyDescent="0.3">
      <c r="A10" s="19">
        <v>46029</v>
      </c>
      <c r="B10" t="s">
        <v>4</v>
      </c>
      <c r="C10" t="s">
        <v>9</v>
      </c>
      <c r="D10">
        <v>40000</v>
      </c>
    </row>
    <row r="11" spans="1:4" x14ac:dyDescent="0.3">
      <c r="A11" s="19">
        <v>46030</v>
      </c>
      <c r="B11" t="s">
        <v>6</v>
      </c>
      <c r="C11" t="s">
        <v>5</v>
      </c>
      <c r="D11">
        <v>22000</v>
      </c>
    </row>
    <row r="12" spans="1:4" x14ac:dyDescent="0.3">
      <c r="A12" s="19">
        <v>46031</v>
      </c>
      <c r="B12" t="s">
        <v>4</v>
      </c>
      <c r="C12" t="s">
        <v>7</v>
      </c>
      <c r="D12">
        <v>35000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E91F-C247-4F8F-AE24-68E3C373E4A0}">
  <dimension ref="A1:D4"/>
  <sheetViews>
    <sheetView workbookViewId="0">
      <selection activeCell="D4" sqref="D4"/>
    </sheetView>
  </sheetViews>
  <sheetFormatPr defaultRowHeight="14.4" x14ac:dyDescent="0.3"/>
  <cols>
    <col min="1" max="2" width="10.109375" bestFit="1" customWidth="1"/>
    <col min="3" max="4" width="9" bestFit="1" customWidth="1"/>
  </cols>
  <sheetData>
    <row r="1" spans="1:4" x14ac:dyDescent="0.3">
      <c r="A1" s="20" t="s">
        <v>14</v>
      </c>
    </row>
    <row r="3" spans="1:4" x14ac:dyDescent="0.3">
      <c r="A3" t="s">
        <v>0</v>
      </c>
      <c r="B3" t="s">
        <v>1</v>
      </c>
      <c r="C3" t="s">
        <v>2</v>
      </c>
      <c r="D3" t="s">
        <v>3</v>
      </c>
    </row>
    <row r="4" spans="1:4" x14ac:dyDescent="0.3">
      <c r="A4" s="19">
        <v>46023</v>
      </c>
      <c r="B4" t="s">
        <v>4</v>
      </c>
      <c r="C4" t="s">
        <v>5</v>
      </c>
      <c r="D4">
        <v>50000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F0DF-C431-4946-B432-1509BB714CCD}">
  <dimension ref="A3:O14"/>
  <sheetViews>
    <sheetView showGridLines="0" workbookViewId="0">
      <selection activeCell="P10" sqref="P10"/>
    </sheetView>
  </sheetViews>
  <sheetFormatPr defaultRowHeight="14.4" x14ac:dyDescent="0.3"/>
  <cols>
    <col min="1" max="1" width="13.109375" bestFit="1" customWidth="1"/>
    <col min="2" max="2" width="12.109375" bestFit="1" customWidth="1"/>
    <col min="3" max="3" width="6.88671875" customWidth="1"/>
    <col min="4" max="4" width="6.21875" customWidth="1"/>
    <col min="5" max="5" width="13.109375" bestFit="1" customWidth="1"/>
    <col min="6" max="6" width="12.109375" bestFit="1" customWidth="1"/>
    <col min="12" max="12" width="12.5546875" customWidth="1"/>
    <col min="13" max="14" width="12.109375" customWidth="1"/>
    <col min="15" max="15" width="10.44140625" bestFit="1" customWidth="1"/>
  </cols>
  <sheetData>
    <row r="3" spans="1:15" x14ac:dyDescent="0.3">
      <c r="A3" s="16" t="s">
        <v>10</v>
      </c>
      <c r="B3" t="s">
        <v>12</v>
      </c>
      <c r="E3" s="16" t="s">
        <v>10</v>
      </c>
      <c r="F3" t="s">
        <v>12</v>
      </c>
      <c r="L3" s="16" t="s">
        <v>10</v>
      </c>
      <c r="M3" t="s">
        <v>12</v>
      </c>
    </row>
    <row r="4" spans="1:15" x14ac:dyDescent="0.3">
      <c r="A4" s="17" t="s">
        <v>8</v>
      </c>
      <c r="B4" s="21">
        <v>15000</v>
      </c>
      <c r="E4" s="17" t="s">
        <v>9</v>
      </c>
      <c r="F4" s="21">
        <v>15000</v>
      </c>
      <c r="L4" s="18">
        <v>46023</v>
      </c>
      <c r="M4" s="6">
        <v>50000</v>
      </c>
    </row>
    <row r="5" spans="1:15" x14ac:dyDescent="0.3">
      <c r="A5" s="17" t="s">
        <v>11</v>
      </c>
      <c r="B5" s="21">
        <v>15000</v>
      </c>
      <c r="E5" s="17" t="s">
        <v>11</v>
      </c>
      <c r="F5" s="21">
        <v>15000</v>
      </c>
      <c r="L5" s="18">
        <v>46024</v>
      </c>
      <c r="M5" s="6">
        <v>20000</v>
      </c>
    </row>
    <row r="6" spans="1:15" x14ac:dyDescent="0.3">
      <c r="L6" s="18">
        <v>46025</v>
      </c>
      <c r="M6" s="6">
        <v>15000</v>
      </c>
    </row>
    <row r="7" spans="1:15" x14ac:dyDescent="0.3">
      <c r="L7" s="18">
        <v>46026</v>
      </c>
      <c r="M7" s="6">
        <v>30000</v>
      </c>
    </row>
    <row r="8" spans="1:15" x14ac:dyDescent="0.3">
      <c r="L8" s="18">
        <v>46027</v>
      </c>
      <c r="M8" s="6">
        <v>25000</v>
      </c>
    </row>
    <row r="9" spans="1:15" x14ac:dyDescent="0.3">
      <c r="L9" s="18">
        <v>46028</v>
      </c>
      <c r="M9" s="6">
        <v>18000</v>
      </c>
    </row>
    <row r="10" spans="1:15" x14ac:dyDescent="0.3">
      <c r="L10" s="18">
        <v>46029</v>
      </c>
      <c r="M10" s="6">
        <v>40000</v>
      </c>
    </row>
    <row r="11" spans="1:15" x14ac:dyDescent="0.3">
      <c r="L11" s="18">
        <v>46030</v>
      </c>
      <c r="M11" s="6">
        <v>22000</v>
      </c>
    </row>
    <row r="12" spans="1:15" x14ac:dyDescent="0.3">
      <c r="L12" s="18">
        <v>46031</v>
      </c>
      <c r="M12" s="6">
        <v>35000</v>
      </c>
    </row>
    <row r="13" spans="1:15" x14ac:dyDescent="0.3">
      <c r="L13" s="18" t="s">
        <v>11</v>
      </c>
      <c r="M13" s="6">
        <v>255000</v>
      </c>
    </row>
    <row r="14" spans="1:15" x14ac:dyDescent="0.3">
      <c r="O14" s="6"/>
    </row>
  </sheetData>
  <pageMargins left="0.25" right="0.25"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CDB57-B392-475C-9D99-A2FA9FFDFA24}">
  <dimension ref="A1:D10"/>
  <sheetViews>
    <sheetView workbookViewId="0">
      <selection sqref="A1:D10"/>
    </sheetView>
  </sheetViews>
  <sheetFormatPr defaultRowHeight="14.4" x14ac:dyDescent="0.3"/>
  <cols>
    <col min="2" max="2" width="9.5546875" customWidth="1"/>
    <col min="4" max="4" width="10.44140625" style="6" customWidth="1"/>
  </cols>
  <sheetData>
    <row r="1" spans="1:4" x14ac:dyDescent="0.3">
      <c r="A1" s="1" t="s">
        <v>0</v>
      </c>
      <c r="B1" s="1" t="s">
        <v>1</v>
      </c>
      <c r="C1" s="1" t="s">
        <v>2</v>
      </c>
      <c r="D1" s="4" t="s">
        <v>3</v>
      </c>
    </row>
    <row r="2" spans="1:4" x14ac:dyDescent="0.3">
      <c r="A2" s="2">
        <v>46023</v>
      </c>
      <c r="B2" s="3" t="s">
        <v>4</v>
      </c>
      <c r="C2" s="3" t="s">
        <v>5</v>
      </c>
      <c r="D2" s="5">
        <v>50000</v>
      </c>
    </row>
    <row r="3" spans="1:4" x14ac:dyDescent="0.3">
      <c r="A3" s="2">
        <v>46024</v>
      </c>
      <c r="B3" s="3" t="s">
        <v>6</v>
      </c>
      <c r="C3" s="3" t="s">
        <v>7</v>
      </c>
      <c r="D3" s="5">
        <v>20000</v>
      </c>
    </row>
    <row r="4" spans="1:4" x14ac:dyDescent="0.3">
      <c r="A4" s="2">
        <v>46025</v>
      </c>
      <c r="B4" s="3" t="s">
        <v>8</v>
      </c>
      <c r="C4" s="3" t="s">
        <v>9</v>
      </c>
      <c r="D4" s="5">
        <v>15000</v>
      </c>
    </row>
    <row r="5" spans="1:4" x14ac:dyDescent="0.3">
      <c r="A5" s="2">
        <v>46026</v>
      </c>
      <c r="B5" s="3" t="s">
        <v>4</v>
      </c>
      <c r="C5" s="3" t="s">
        <v>5</v>
      </c>
      <c r="D5" s="5">
        <v>30000</v>
      </c>
    </row>
    <row r="6" spans="1:4" x14ac:dyDescent="0.3">
      <c r="A6" s="2">
        <v>46027</v>
      </c>
      <c r="B6" s="3" t="s">
        <v>6</v>
      </c>
      <c r="C6" s="3" t="s">
        <v>5</v>
      </c>
      <c r="D6" s="5">
        <v>25000</v>
      </c>
    </row>
    <row r="7" spans="1:4" x14ac:dyDescent="0.3">
      <c r="A7" s="2">
        <v>46028</v>
      </c>
      <c r="B7" s="3" t="s">
        <v>8</v>
      </c>
      <c r="C7" s="3" t="s">
        <v>7</v>
      </c>
      <c r="D7" s="5">
        <v>18000</v>
      </c>
    </row>
    <row r="8" spans="1:4" x14ac:dyDescent="0.3">
      <c r="A8" s="2">
        <v>46029</v>
      </c>
      <c r="B8" s="3" t="s">
        <v>4</v>
      </c>
      <c r="C8" s="3" t="s">
        <v>9</v>
      </c>
      <c r="D8" s="5">
        <v>40000</v>
      </c>
    </row>
    <row r="9" spans="1:4" x14ac:dyDescent="0.3">
      <c r="A9" s="2">
        <v>46030</v>
      </c>
      <c r="B9" s="3" t="s">
        <v>6</v>
      </c>
      <c r="C9" s="3" t="s">
        <v>5</v>
      </c>
      <c r="D9" s="5">
        <v>22000</v>
      </c>
    </row>
    <row r="10" spans="1:4" x14ac:dyDescent="0.3">
      <c r="A10" s="2">
        <v>46031</v>
      </c>
      <c r="B10" s="3" t="s">
        <v>4</v>
      </c>
      <c r="C10" s="3" t="s">
        <v>7</v>
      </c>
      <c r="D10" s="5">
        <v>35000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Detail1</vt:lpstr>
      <vt:lpstr>Detail2</vt:lpstr>
      <vt:lpstr>Detail3</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sajlendrapandey2022@gmail.com</dc:creator>
  <cp:lastModifiedBy>sajlendrapandey2022@gmail.com</cp:lastModifiedBy>
  <dcterms:created xsi:type="dcterms:W3CDTF">2026-03-08T12:31:35Z</dcterms:created>
  <dcterms:modified xsi:type="dcterms:W3CDTF">2026-03-10T05:51:55Z</dcterms:modified>
</cp:coreProperties>
</file>